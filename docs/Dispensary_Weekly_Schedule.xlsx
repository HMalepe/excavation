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hedule" sheetId="2" state="visible" r:id="rId4"/>
    <sheet name="Shifts &amp; Rules" sheetId="3" state="visible" r:id="rId5"/>
  </sheets>
  <definedNames>
    <definedName function="false" hidden="false" localSheetId="1" name="_xlnm.Print_Titles" vbProcedure="false">Schedule!$5:$5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<sst xmlns="http://schemas.openxmlformats.org/spreadsheetml/2006/main" count="161" uniqueCount="97">
  <si>
    <t xml:space="preserve">Retail work schedule: Dispensary</t>
  </si>
  <si>
    <t xml:space="preserve">One week at a time. Pick a shift code for each person and day; hours, rest and cover checks update on their own.</t>
  </si>
  <si>
    <t xml:space="preserve">How to use</t>
  </si>
  <si>
    <t xml:space="preserve">1</t>
  </si>
  <si>
    <t xml:space="preserve">Open the Schedule sheet. Type the Monday of the week in the blue cell (C3). Day headings fill in.</t>
  </si>
  <si>
    <t xml:space="preserve">2</t>
  </si>
  <si>
    <t xml:space="preserve">Overwrite the example names, roles and contract hours (blue cells). Add up to 15 people.</t>
  </si>
  <si>
    <t xml:space="preserve">3</t>
  </si>
  <si>
    <t xml:space="preserve">For each person and day, pick a code from the drop-down (E, M, L, OFF, LV, SK, PH). Add your own codes on the Shifts &amp; Rules sheet.</t>
  </si>
  <si>
    <t xml:space="preserve">4</t>
  </si>
  <si>
    <t xml:space="preserve">Read the Flag column (hours, rest) and the Cover check block at the bottom (pharmacist on duty, at opening, at closing). Fix every red cell.</t>
  </si>
  <si>
    <t xml:space="preserve">5</t>
  </si>
  <si>
    <t xml:space="preserve">Next week: copy the Schedule sheet (right-click the tab, Move or Copy), change the Monday date, and re-pick the codes.</t>
  </si>
  <si>
    <t xml:space="preserve">Colour key</t>
  </si>
  <si>
    <t xml:space="preserve">Blue cell</t>
  </si>
  <si>
    <t xml:space="preserve">You type or pick here. Everything else is a formula: please don't overwrite it.</t>
  </si>
  <si>
    <t xml:space="preserve">Red text or fill</t>
  </si>
  <si>
    <t xml:space="preserve">A problem to fix: over the weekly hours limit, too little rest, or a cover gap.</t>
  </si>
  <si>
    <t xml:space="preserve">Assumptions to confirm</t>
  </si>
  <si>
    <t xml:space="preserve">Shift times</t>
  </si>
  <si>
    <t xml:space="preserve">E 08:00 to 16:30, M 09:30 to 18:00, L 12:00 to 20:30 are placeholders. Replace them with your store's real opening and closing pattern on Shifts &amp; Rules.</t>
  </si>
  <si>
    <t xml:space="preserve">Unpaid break</t>
  </si>
  <si>
    <t xml:space="preserve">30 minutes per shift is an assumption. The Basic Conditions of Employment Act sets a meal interval of 1 hour after 5 hours of continuous work, which can be reduced to 30 minutes by written agreement. Confirm your store's policy.</t>
  </si>
  <si>
    <t xml:space="preserve">Hour limits</t>
  </si>
  <si>
    <t xml:space="preserve">45 ordinary hours a week and 12 hours of rest between shifts are the figures in the Act as I understand them. Confirm with HR before relying on them. Overtime, Sunday and public holiday pay rules are not calculated here.</t>
  </si>
  <si>
    <t xml:space="preserve">Rest check</t>
  </si>
  <si>
    <t xml:space="preserve">The rest flag only checks a Late shift followed by an Early shift the next day. The 36 hours of weekly rest is not checked: eyeball it.</t>
  </si>
  <si>
    <t xml:space="preserve">Example data</t>
  </si>
  <si>
    <t xml:space="preserve">Names and shifts are made-up examples to show the format. Overwrite them.</t>
  </si>
  <si>
    <t xml:space="preserve">Weekly work schedule</t>
  </si>
  <si>
    <t xml:space="preserve">Department / store</t>
  </si>
  <si>
    <t xml:space="preserve">Dispensary: [store name]</t>
  </si>
  <si>
    <t xml:space="preserve">Blue = you type or pick. Red = fix it.</t>
  </si>
  <si>
    <t xml:space="preserve">Week commencing (Monday)</t>
  </si>
  <si>
    <t xml:space="preserve">Name</t>
  </si>
  <si>
    <t xml:space="preserve">Role</t>
  </si>
  <si>
    <t xml:space="preserve">Contract hrs</t>
  </si>
  <si>
    <t xml:space="preserve">Hours</t>
  </si>
  <si>
    <t xml:space="preserve">Days</t>
  </si>
  <si>
    <t xml:space="preserve">Flag</t>
  </si>
  <si>
    <t xml:space="preserve">Thandi M. (Manager)</t>
  </si>
  <si>
    <t xml:space="preserve">Pharmacist</t>
  </si>
  <si>
    <t xml:space="preserve">E</t>
  </si>
  <si>
    <t xml:space="preserve">OFF</t>
  </si>
  <si>
    <t xml:space="preserve">M</t>
  </si>
  <si>
    <t xml:space="preserve">Pieter v. W.</t>
  </si>
  <si>
    <t xml:space="preserve">L</t>
  </si>
  <si>
    <t xml:space="preserve">Naledi D. (relief)</t>
  </si>
  <si>
    <t xml:space="preserve">Zanele K.</t>
  </si>
  <si>
    <t xml:space="preserve">Pharmacist Assistant</t>
  </si>
  <si>
    <t xml:space="preserve">Sipho N.</t>
  </si>
  <si>
    <t xml:space="preserve">Lindiwe P.</t>
  </si>
  <si>
    <t xml:space="preserve">Dispensary Assistant</t>
  </si>
  <si>
    <t xml:space="preserve">Ayanda Z.</t>
  </si>
  <si>
    <t xml:space="preserve">Kabelo S.</t>
  </si>
  <si>
    <t xml:space="preserve">Cashier</t>
  </si>
  <si>
    <t xml:space="preserve">Total hours</t>
  </si>
  <si>
    <t xml:space="preserve">Cover check</t>
  </si>
  <si>
    <t xml:space="preserve">Minimum pharmacists on duty</t>
  </si>
  <si>
    <t xml:space="preserve">Pharmacists on duty</t>
  </si>
  <si>
    <t xml:space="preserve">Status</t>
  </si>
  <si>
    <t xml:space="preserve">Minimum pharmacists at opening (E)</t>
  </si>
  <si>
    <t xml:space="preserve">Pharmacists on the Early shift</t>
  </si>
  <si>
    <t xml:space="preserve">Minimum pharmacists at closing (L)</t>
  </si>
  <si>
    <t xml:space="preserve">Pharmacists on the Late shift</t>
  </si>
  <si>
    <t xml:space="preserve">All staff on duty</t>
  </si>
  <si>
    <t xml:space="preserve">Counts treat the role named exactly "Pharmacist" as the pharmacist on duty. Minimums are placeholders for you to set (blue cells). Example staff and shifts are made up.</t>
  </si>
  <si>
    <t xml:space="preserve">Shifts &amp; Rules</t>
  </si>
  <si>
    <t xml:space="preserve">Shift codes appear in the Schedule drop-downs. Paid hours = end minus start minus unpaid break. A code with no times (OFF, LV, SK, PH) counts as 0 hours.</t>
  </si>
  <si>
    <t xml:space="preserve">Code</t>
  </si>
  <si>
    <t xml:space="preserve">Shift</t>
  </si>
  <si>
    <t xml:space="preserve">Start</t>
  </si>
  <si>
    <t xml:space="preserve">End</t>
  </si>
  <si>
    <t xml:space="preserve">Unpaid break (hrs)</t>
  </si>
  <si>
    <t xml:space="preserve">Paid hours</t>
  </si>
  <si>
    <t xml:space="preserve">Works?</t>
  </si>
  <si>
    <t xml:space="preserve">Early</t>
  </si>
  <si>
    <t xml:space="preserve">Mid</t>
  </si>
  <si>
    <t xml:space="preserve">Late</t>
  </si>
  <si>
    <t xml:space="preserve">Day off</t>
  </si>
  <si>
    <t xml:space="preserve">LV</t>
  </si>
  <si>
    <t xml:space="preserve">Annual leave</t>
  </si>
  <si>
    <t xml:space="preserve">SK</t>
  </si>
  <si>
    <t xml:space="preserve">Sick leave</t>
  </si>
  <si>
    <t xml:space="preserve">PH</t>
  </si>
  <si>
    <t xml:space="preserve">Public holiday off</t>
  </si>
  <si>
    <t xml:space="preserve">Rules used by the Flag column</t>
  </si>
  <si>
    <t xml:space="preserve">Maximum ordinary hours per week</t>
  </si>
  <si>
    <t xml:space="preserve">Basic Conditions of Employment Act, section 9 (45 ordinary hours a week). Confirm with HR.</t>
  </si>
  <si>
    <t xml:space="preserve">Minimum rest between shifts (hrs)</t>
  </si>
  <si>
    <t xml:space="preserve">Basic Conditions of Employment Act, section 15 (12 hours daily rest). Confirm with HR.</t>
  </si>
  <si>
    <t xml:space="preserve">Early shift code (rest check)</t>
  </si>
  <si>
    <t xml:space="preserve">Code of the earliest shift</t>
  </si>
  <si>
    <t xml:space="preserve">Late shift code (rest check)</t>
  </si>
  <si>
    <t xml:space="preserve">Code of the latest shift</t>
  </si>
  <si>
    <t xml:space="preserve">Rest between a Late and the next Early shift (hrs)</t>
  </si>
  <si>
    <t xml:space="preserve">Calculated: hours between the end of the Late shift and the start of the Early shift next day.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</si>
</sst>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ddd\ dd\ mmm"/>
    <numFmt numFmtId="167" formatCode="0.0"/>
    <numFmt numFmtId="168" formatCode="General"/>
    <numFmt numFmtId="169" formatCode="hh:mm"/>
    <numFmt numFmtId="170" formatCode="0"/>
    <numFmt numFmtId="171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4213D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10"/>
      <color rgb="FF14213D"/>
      <name val="Arial"/>
      <family val="0"/>
      <charset val="1"/>
    </font>
    <font>
      <b val="true"/>
      <sz val="10"/>
      <color rgb="FFB4231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47556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14213D"/>
      <name val="Arial"/>
      <family val="0"/>
      <charset val="1"/>
    </font>
    <font>
      <b val="true"/>
      <sz val="12"/>
      <color rgb="FF14213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DCE9FB"/>
        <bgColor rgb="FFE3EA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D3E8"/>
      </left>
      <right/>
      <top style="thin">
        <color rgb="FFC5D3E8"/>
      </top>
      <bottom style="thin">
        <color rgb="FFC5D3E8"/>
      </bottom>
      <diagonal/>
    </border>
    <border diagonalUp="false" diagonalDown="false">
      <left style="thin">
        <color rgb="FFC5D3E8"/>
      </left>
      <right style="thin">
        <color rgb="FFC5D3E8"/>
      </right>
      <top style="thin">
        <color rgb="FFC5D3E8"/>
      </top>
      <bottom style="thin">
        <color rgb="FFC5D3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B42318"/>
      </font>
      <fill>
        <patternFill>
          <bgColor rgb="FFFDE4E2"/>
        </patternFill>
      </fill>
    </dxf>
    <dxf>
      <font>
        <name val="Arial"/>
        <charset val="1"/>
        <family val="0"/>
        <b val="1"/>
        <color rgb="FF0F766E"/>
      </font>
    </dxf>
    <dxf>
      <fill>
        <patternFill>
          <bgColor rgb="FFD6E4FB"/>
        </patternFill>
      </fill>
    </dxf>
    <dxf>
      <fill>
        <patternFill>
          <bgColor rgb="FFD5F0EC"/>
        </patternFill>
      </fill>
    </dxf>
    <dxf>
      <fill>
        <patternFill>
          <bgColor rgb="FFE4DDF6"/>
        </patternFill>
      </fill>
    </dxf>
    <dxf>
      <fill>
        <patternFill>
          <bgColor rgb="FFECEFF4"/>
        </patternFill>
      </fill>
    </dxf>
    <dxf>
      <fill>
        <patternFill>
          <bgColor rgb="FFDDF0DF"/>
        </patternFill>
      </fill>
    </dxf>
    <dxf>
      <fill>
        <patternFill>
          <bgColor rgb="FFFDE4E2"/>
        </patternFill>
      </fill>
    </dxf>
    <dxf>
      <fill>
        <patternFill>
          <bgColor rgb="FFE3EA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E4DDF6"/>
      <rgbColor rgb="FF808080"/>
      <rgbColor rgb="FF9999FF"/>
      <rgbColor rgb="FF993366"/>
      <rgbColor rgb="FFECEFF4"/>
      <rgbColor rgb="FFD5F0EC"/>
      <rgbColor rgb="FF660066"/>
      <rgbColor rgb="FFFF8080"/>
      <rgbColor rgb="FF0066CC"/>
      <rgbColor rgb="FFC5D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B"/>
      <rgbColor rgb="FFDDF0DF"/>
      <rgbColor rgb="FFE3EAF6"/>
      <rgbColor rgb="FFD6E4FB"/>
      <rgbColor rgb="FFFF99CC"/>
      <rgbColor rgb="FFCC99FF"/>
      <rgbColor rgb="FFFDE4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15" hidden="false" customHeight="false" outlineLevel="0" collapsed="false">
      <c r="B6" s="5" t="s">
        <v>3</v>
      </c>
      <c r="C6" s="6" t="s">
        <v>4</v>
      </c>
    </row>
    <row r="7" customFormat="false" ht="15" hidden="false" customHeight="false" outlineLevel="0" collapsed="false">
      <c r="B7" s="5" t="s">
        <v>5</v>
      </c>
      <c r="C7" s="6" t="s">
        <v>6</v>
      </c>
    </row>
    <row r="8" customFormat="false" ht="23.85" hidden="false" customHeight="false" outlineLevel="0" collapsed="false">
      <c r="B8" s="5" t="s">
        <v>7</v>
      </c>
      <c r="C8" s="6" t="s">
        <v>8</v>
      </c>
    </row>
    <row r="9" customFormat="false" ht="23.85" hidden="false" customHeight="false" outlineLevel="0" collapsed="false">
      <c r="B9" s="5" t="s">
        <v>9</v>
      </c>
      <c r="C9" s="6" t="s">
        <v>10</v>
      </c>
    </row>
    <row r="10" customFormat="false" ht="23.85" hidden="false" customHeight="false" outlineLevel="0" collapsed="false">
      <c r="B10" s="5" t="s">
        <v>11</v>
      </c>
      <c r="C10" s="6" t="s">
        <v>12</v>
      </c>
    </row>
    <row r="11" customFormat="false" ht="15" hidden="false" customHeight="false" outlineLevel="0" collapsed="false">
      <c r="B11" s="3" t="s">
        <v>13</v>
      </c>
      <c r="C11" s="4"/>
    </row>
    <row r="12" customFormat="false" ht="15" hidden="false" customHeight="false" outlineLevel="0" collapsed="false">
      <c r="B12" s="7" t="s">
        <v>14</v>
      </c>
      <c r="C12" s="6" t="s">
        <v>15</v>
      </c>
    </row>
    <row r="13" customFormat="false" ht="15" hidden="false" customHeight="false" outlineLevel="0" collapsed="false">
      <c r="B13" s="8" t="s">
        <v>16</v>
      </c>
      <c r="C13" s="6" t="s">
        <v>17</v>
      </c>
    </row>
    <row r="14" customFormat="false" ht="15" hidden="false" customHeight="false" outlineLevel="0" collapsed="false">
      <c r="B14" s="3" t="s">
        <v>18</v>
      </c>
      <c r="C14" s="4"/>
    </row>
    <row r="15" customFormat="false" ht="23.85" hidden="false" customHeight="false" outlineLevel="0" collapsed="false">
      <c r="B15" s="5" t="s">
        <v>19</v>
      </c>
      <c r="C15" s="6" t="s">
        <v>20</v>
      </c>
    </row>
    <row r="16" customFormat="false" ht="23.85" hidden="false" customHeight="false" outlineLevel="0" collapsed="false">
      <c r="B16" s="5" t="s">
        <v>21</v>
      </c>
      <c r="C16" s="6" t="s">
        <v>22</v>
      </c>
    </row>
    <row r="17" customFormat="false" ht="23.85" hidden="false" customHeight="false" outlineLevel="0" collapsed="false">
      <c r="B17" s="5" t="s">
        <v>23</v>
      </c>
      <c r="C17" s="6" t="s">
        <v>24</v>
      </c>
    </row>
    <row r="18" customFormat="false" ht="23.85" hidden="false" customHeight="false" outlineLevel="0" collapsed="false">
      <c r="B18" s="5" t="s">
        <v>25</v>
      </c>
      <c r="C18" s="6" t="s">
        <v>26</v>
      </c>
    </row>
    <row r="19" customFormat="false" ht="15" hidden="false" customHeight="false" outlineLevel="0" collapsed="false">
      <c r="B19" s="5" t="s">
        <v>27</v>
      </c>
      <c r="C19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10" min="4" style="0" width="12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20"/>
  </cols>
  <sheetData>
    <row r="1" customFormat="false" ht="22.05" hidden="false" customHeight="false" outlineLevel="0" collapsed="false">
      <c r="A1" s="1" t="s">
        <v>29</v>
      </c>
    </row>
    <row r="2" customFormat="false" ht="15" hidden="false" customHeight="false" outlineLevel="0" collapsed="false">
      <c r="A2" s="9" t="s">
        <v>30</v>
      </c>
      <c r="B2" s="10" t="s">
        <v>31</v>
      </c>
      <c r="C2" s="10"/>
      <c r="D2" s="10"/>
      <c r="E2" s="10"/>
      <c r="F2" s="10"/>
      <c r="H2" s="11" t="s">
        <v>32</v>
      </c>
    </row>
    <row r="3" customFormat="false" ht="15" hidden="false" customHeight="false" outlineLevel="0" collapsed="false">
      <c r="A3" s="12" t="s">
        <v>33</v>
      </c>
      <c r="B3" s="12"/>
      <c r="C3" s="13" t="n">
        <v>46314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5" t="n">
        <f aca="false">$C$3+0</f>
        <v>46314</v>
      </c>
      <c r="E5" s="15" t="n">
        <f aca="false">$C$3+1</f>
        <v>46315</v>
      </c>
      <c r="F5" s="15" t="n">
        <f aca="false">$C$3+2</f>
        <v>46316</v>
      </c>
      <c r="G5" s="15" t="n">
        <f aca="false">$C$3+3</f>
        <v>46317</v>
      </c>
      <c r="H5" s="15" t="n">
        <f aca="false">$C$3+4</f>
        <v>46318</v>
      </c>
      <c r="I5" s="15" t="n">
        <f aca="false">$C$3+5</f>
        <v>46319</v>
      </c>
      <c r="J5" s="15" t="n">
        <f aca="false">$C$3+6</f>
        <v>46320</v>
      </c>
      <c r="K5" s="14" t="s">
        <v>37</v>
      </c>
      <c r="L5" s="14" t="s">
        <v>38</v>
      </c>
      <c r="M5" s="14" t="s">
        <v>39</v>
      </c>
    </row>
    <row r="6" customFormat="false" ht="19.5" hidden="false" customHeight="true" outlineLevel="0" collapsed="false">
      <c r="A6" s="16" t="s">
        <v>40</v>
      </c>
      <c r="B6" s="16" t="s">
        <v>41</v>
      </c>
      <c r="C6" s="17" t="n">
        <v>40</v>
      </c>
      <c r="D6" s="18" t="s">
        <v>42</v>
      </c>
      <c r="E6" s="18" t="s">
        <v>42</v>
      </c>
      <c r="F6" s="18" t="s">
        <v>42</v>
      </c>
      <c r="G6" s="18" t="s">
        <v>42</v>
      </c>
      <c r="H6" s="18" t="s">
        <v>43</v>
      </c>
      <c r="I6" s="18" t="s">
        <v>44</v>
      </c>
      <c r="J6" s="18" t="s">
        <v>43</v>
      </c>
      <c r="K6" s="19" t="n">
        <f aca="false">IF($A6="","",SUMPRODUCT(SUMIF('Shifts &amp; Rules'!$A$5:$A$14,D6:J6,'Shifts &amp; Rules'!$F$5:$F$14)))</f>
        <v>40</v>
      </c>
      <c r="L6" s="20" t="n">
        <f aca="false">IF($A6="","",SUMPRODUCT(--(SUMIF('Shifts &amp; Rules'!$A$5:$A$14,D6:J6,'Shifts &amp; Rules'!$F$5:$F$14)&gt;0)))</f>
        <v>5</v>
      </c>
      <c r="M6" s="21" t="str">
        <f aca="false">IF($A6="","",IF(K6&gt;'Shifts &amp; Rules'!$C$18,"Over max hours",IF(AND(SUMPRODUCT((D6:I6='Shifts &amp; Rules'!$C$21)*(E6:J6='Shifts &amp; Rules'!$C$20))&gt;0,'Shifts &amp; Rules'!$C$23&lt;'Shifts &amp; Rules'!$C$19),"Short rest (Late then Early)",IF(AND(C6&gt;0,K6&lt;C6),"Under contract","OK"))))</f>
        <v>OK</v>
      </c>
    </row>
    <row r="7" customFormat="false" ht="19.5" hidden="false" customHeight="true" outlineLevel="0" collapsed="false">
      <c r="A7" s="16" t="s">
        <v>45</v>
      </c>
      <c r="B7" s="16" t="s">
        <v>41</v>
      </c>
      <c r="C7" s="17" t="n">
        <v>40</v>
      </c>
      <c r="D7" s="18" t="s">
        <v>46</v>
      </c>
      <c r="E7" s="18" t="s">
        <v>46</v>
      </c>
      <c r="F7" s="18" t="s">
        <v>46</v>
      </c>
      <c r="G7" s="18" t="s">
        <v>46</v>
      </c>
      <c r="H7" s="18" t="s">
        <v>46</v>
      </c>
      <c r="I7" s="18" t="s">
        <v>43</v>
      </c>
      <c r="J7" s="18" t="s">
        <v>43</v>
      </c>
      <c r="K7" s="19" t="n">
        <f aca="false">IF($A7="","",SUMPRODUCT(SUMIF('Shifts &amp; Rules'!$A$5:$A$14,D7:J7,'Shifts &amp; Rules'!$F$5:$F$14)))</f>
        <v>40</v>
      </c>
      <c r="L7" s="20" t="n">
        <f aca="false">IF($A7="","",SUMPRODUCT(--(SUMIF('Shifts &amp; Rules'!$A$5:$A$14,D7:J7,'Shifts &amp; Rules'!$F$5:$F$14)&gt;0)))</f>
        <v>5</v>
      </c>
      <c r="M7" s="21" t="str">
        <f aca="false">IF($A7="","",IF(K7&gt;'Shifts &amp; Rules'!$C$18,"Over max hours",IF(AND(SUMPRODUCT((D7:I7='Shifts &amp; Rules'!$C$21)*(E7:J7='Shifts &amp; Rules'!$C$20))&gt;0,'Shifts &amp; Rules'!$C$23&lt;'Shifts &amp; Rules'!$C$19),"Short rest (Late then Early)",IF(AND(C7&gt;0,K7&lt;C7),"Under contract","OK"))))</f>
        <v>OK</v>
      </c>
    </row>
    <row r="8" customFormat="false" ht="19.5" hidden="false" customHeight="true" outlineLevel="0" collapsed="false">
      <c r="A8" s="16" t="s">
        <v>47</v>
      </c>
      <c r="B8" s="16" t="s">
        <v>41</v>
      </c>
      <c r="C8" s="17" t="n">
        <v>40</v>
      </c>
      <c r="D8" s="18" t="s">
        <v>43</v>
      </c>
      <c r="E8" s="18" t="s">
        <v>43</v>
      </c>
      <c r="F8" s="18" t="s">
        <v>44</v>
      </c>
      <c r="G8" s="18" t="s">
        <v>44</v>
      </c>
      <c r="H8" s="18" t="s">
        <v>42</v>
      </c>
      <c r="I8" s="18" t="s">
        <v>44</v>
      </c>
      <c r="J8" s="18" t="s">
        <v>44</v>
      </c>
      <c r="K8" s="19" t="n">
        <f aca="false">IF($A8="","",SUMPRODUCT(SUMIF('Shifts &amp; Rules'!$A$5:$A$14,D8:J8,'Shifts &amp; Rules'!$F$5:$F$14)))</f>
        <v>40</v>
      </c>
      <c r="L8" s="20" t="n">
        <f aca="false">IF($A8="","",SUMPRODUCT(--(SUMIF('Shifts &amp; Rules'!$A$5:$A$14,D8:J8,'Shifts &amp; Rules'!$F$5:$F$14)&gt;0)))</f>
        <v>5</v>
      </c>
      <c r="M8" s="21" t="str">
        <f aca="false">IF($A8="","",IF(K8&gt;'Shifts &amp; Rules'!$C$18,"Over max hours",IF(AND(SUMPRODUCT((D8:I8='Shifts &amp; Rules'!$C$21)*(E8:J8='Shifts &amp; Rules'!$C$20))&gt;0,'Shifts &amp; Rules'!$C$23&lt;'Shifts &amp; Rules'!$C$19),"Short rest (Late then Early)",IF(AND(C8&gt;0,K8&lt;C8),"Under contract","OK"))))</f>
        <v>OK</v>
      </c>
    </row>
    <row r="9" customFormat="false" ht="19.5" hidden="false" customHeight="true" outlineLevel="0" collapsed="false">
      <c r="A9" s="16" t="s">
        <v>48</v>
      </c>
      <c r="B9" s="16" t="s">
        <v>49</v>
      </c>
      <c r="C9" s="17" t="n">
        <v>40</v>
      </c>
      <c r="D9" s="18" t="s">
        <v>44</v>
      </c>
      <c r="E9" s="18" t="s">
        <v>44</v>
      </c>
      <c r="F9" s="18" t="s">
        <v>43</v>
      </c>
      <c r="G9" s="18" t="s">
        <v>43</v>
      </c>
      <c r="H9" s="18" t="s">
        <v>44</v>
      </c>
      <c r="I9" s="18" t="s">
        <v>46</v>
      </c>
      <c r="J9" s="18" t="s">
        <v>46</v>
      </c>
      <c r="K9" s="19" t="n">
        <f aca="false">IF($A9="","",SUMPRODUCT(SUMIF('Shifts &amp; Rules'!$A$5:$A$14,D9:J9,'Shifts &amp; Rules'!$F$5:$F$14)))</f>
        <v>40</v>
      </c>
      <c r="L9" s="20" t="n">
        <f aca="false">IF($A9="","",SUMPRODUCT(--(SUMIF('Shifts &amp; Rules'!$A$5:$A$14,D9:J9,'Shifts &amp; Rules'!$F$5:$F$14)&gt;0)))</f>
        <v>5</v>
      </c>
      <c r="M9" s="21" t="str">
        <f aca="false">IF($A9="","",IF(K9&gt;'Shifts &amp; Rules'!$C$18,"Over max hours",IF(AND(SUMPRODUCT((D9:I9='Shifts &amp; Rules'!$C$21)*(E9:J9='Shifts &amp; Rules'!$C$20))&gt;0,'Shifts &amp; Rules'!$C$23&lt;'Shifts &amp; Rules'!$C$19),"Short rest (Late then Early)",IF(AND(C9&gt;0,K9&lt;C9),"Under contract","OK"))))</f>
        <v>OK</v>
      </c>
    </row>
    <row r="10" customFormat="false" ht="19.5" hidden="false" customHeight="true" outlineLevel="0" collapsed="false">
      <c r="A10" s="16" t="s">
        <v>50</v>
      </c>
      <c r="B10" s="16" t="s">
        <v>49</v>
      </c>
      <c r="C10" s="17" t="n">
        <v>40</v>
      </c>
      <c r="D10" s="18" t="s">
        <v>42</v>
      </c>
      <c r="E10" s="18" t="s">
        <v>43</v>
      </c>
      <c r="F10" s="18" t="s">
        <v>42</v>
      </c>
      <c r="G10" s="18" t="s">
        <v>42</v>
      </c>
      <c r="H10" s="18" t="s">
        <v>42</v>
      </c>
      <c r="I10" s="18" t="s">
        <v>42</v>
      </c>
      <c r="J10" s="18" t="s">
        <v>43</v>
      </c>
      <c r="K10" s="19" t="n">
        <f aca="false">IF($A10="","",SUMPRODUCT(SUMIF('Shifts &amp; Rules'!$A$5:$A$14,D10:J10,'Shifts &amp; Rules'!$F$5:$F$14)))</f>
        <v>40</v>
      </c>
      <c r="L10" s="20" t="n">
        <f aca="false">IF($A10="","",SUMPRODUCT(--(SUMIF('Shifts &amp; Rules'!$A$5:$A$14,D10:J10,'Shifts &amp; Rules'!$F$5:$F$14)&gt;0)))</f>
        <v>5</v>
      </c>
      <c r="M10" s="21" t="str">
        <f aca="false">IF($A10="","",IF(K10&gt;'Shifts &amp; Rules'!$C$18,"Over max hours",IF(AND(SUMPRODUCT((D10:I10='Shifts &amp; Rules'!$C$21)*(E10:J10='Shifts &amp; Rules'!$C$20))&gt;0,'Shifts &amp; Rules'!$C$23&lt;'Shifts &amp; Rules'!$C$19),"Short rest (Late then Early)",IF(AND(C10&gt;0,K10&lt;C10),"Under contract","OK"))))</f>
        <v>OK</v>
      </c>
    </row>
    <row r="11" customFormat="false" ht="19.5" hidden="false" customHeight="true" outlineLevel="0" collapsed="false">
      <c r="A11" s="16" t="s">
        <v>51</v>
      </c>
      <c r="B11" s="16" t="s">
        <v>52</v>
      </c>
      <c r="C11" s="17" t="n">
        <v>40</v>
      </c>
      <c r="D11" s="18" t="s">
        <v>43</v>
      </c>
      <c r="E11" s="18" t="s">
        <v>42</v>
      </c>
      <c r="F11" s="18" t="s">
        <v>46</v>
      </c>
      <c r="G11" s="18" t="s">
        <v>46</v>
      </c>
      <c r="H11" s="18" t="s">
        <v>43</v>
      </c>
      <c r="I11" s="18" t="s">
        <v>46</v>
      </c>
      <c r="J11" s="18" t="s">
        <v>46</v>
      </c>
      <c r="K11" s="19" t="n">
        <f aca="false">IF($A11="","",SUMPRODUCT(SUMIF('Shifts &amp; Rules'!$A$5:$A$14,D11:J11,'Shifts &amp; Rules'!$F$5:$F$14)))</f>
        <v>40</v>
      </c>
      <c r="L11" s="20" t="n">
        <f aca="false">IF($A11="","",SUMPRODUCT(--(SUMIF('Shifts &amp; Rules'!$A$5:$A$14,D11:J11,'Shifts &amp; Rules'!$F$5:$F$14)&gt;0)))</f>
        <v>5</v>
      </c>
      <c r="M11" s="21" t="str">
        <f aca="false">IF($A11="","",IF(K11&gt;'Shifts &amp; Rules'!$C$18,"Over max hours",IF(AND(SUMPRODUCT((D11:I11='Shifts &amp; Rules'!$C$21)*(E11:J11='Shifts &amp; Rules'!$C$20))&gt;0,'Shifts &amp; Rules'!$C$23&lt;'Shifts &amp; Rules'!$C$19),"Short rest (Late then Early)",IF(AND(C11&gt;0,K11&lt;C11),"Under contract","OK"))))</f>
        <v>OK</v>
      </c>
    </row>
    <row r="12" customFormat="false" ht="19.5" hidden="false" customHeight="true" outlineLevel="0" collapsed="false">
      <c r="A12" s="16" t="s">
        <v>53</v>
      </c>
      <c r="B12" s="16" t="s">
        <v>52</v>
      </c>
      <c r="C12" s="17" t="n">
        <v>40</v>
      </c>
      <c r="D12" s="18" t="s">
        <v>46</v>
      </c>
      <c r="E12" s="18" t="s">
        <v>44</v>
      </c>
      <c r="F12" s="18" t="s">
        <v>44</v>
      </c>
      <c r="G12" s="18" t="s">
        <v>43</v>
      </c>
      <c r="H12" s="18" t="s">
        <v>46</v>
      </c>
      <c r="I12" s="18" t="s">
        <v>43</v>
      </c>
      <c r="J12" s="18" t="s">
        <v>44</v>
      </c>
      <c r="K12" s="19" t="n">
        <f aca="false">IF($A12="","",SUMPRODUCT(SUMIF('Shifts &amp; Rules'!$A$5:$A$14,D12:J12,'Shifts &amp; Rules'!$F$5:$F$14)))</f>
        <v>40</v>
      </c>
      <c r="L12" s="20" t="n">
        <f aca="false">IF($A12="","",SUMPRODUCT(--(SUMIF('Shifts &amp; Rules'!$A$5:$A$14,D12:J12,'Shifts &amp; Rules'!$F$5:$F$14)&gt;0)))</f>
        <v>5</v>
      </c>
      <c r="M12" s="21" t="str">
        <f aca="false">IF($A12="","",IF(K12&gt;'Shifts &amp; Rules'!$C$18,"Over max hours",IF(AND(SUMPRODUCT((D12:I12='Shifts &amp; Rules'!$C$21)*(E12:J12='Shifts &amp; Rules'!$C$20))&gt;0,'Shifts &amp; Rules'!$C$23&lt;'Shifts &amp; Rules'!$C$19),"Short rest (Late then Early)",IF(AND(C12&gt;0,K12&lt;C12),"Under contract","OK"))))</f>
        <v>OK</v>
      </c>
    </row>
    <row r="13" customFormat="false" ht="19.5" hidden="false" customHeight="true" outlineLevel="0" collapsed="false">
      <c r="A13" s="16" t="s">
        <v>54</v>
      </c>
      <c r="B13" s="16" t="s">
        <v>55</v>
      </c>
      <c r="C13" s="17" t="n">
        <v>40</v>
      </c>
      <c r="D13" s="18" t="s">
        <v>44</v>
      </c>
      <c r="E13" s="18" t="s">
        <v>46</v>
      </c>
      <c r="F13" s="18" t="s">
        <v>43</v>
      </c>
      <c r="G13" s="18" t="s">
        <v>44</v>
      </c>
      <c r="H13" s="18" t="s">
        <v>44</v>
      </c>
      <c r="I13" s="18" t="s">
        <v>44</v>
      </c>
      <c r="J13" s="18" t="s">
        <v>43</v>
      </c>
      <c r="K13" s="19" t="n">
        <f aca="false">IF($A13="","",SUMPRODUCT(SUMIF('Shifts &amp; Rules'!$A$5:$A$14,D13:J13,'Shifts &amp; Rules'!$F$5:$F$14)))</f>
        <v>40</v>
      </c>
      <c r="L13" s="20" t="n">
        <f aca="false">IF($A13="","",SUMPRODUCT(--(SUMIF('Shifts &amp; Rules'!$A$5:$A$14,D13:J13,'Shifts &amp; Rules'!$F$5:$F$14)&gt;0)))</f>
        <v>5</v>
      </c>
      <c r="M13" s="21" t="str">
        <f aca="false">IF($A13="","",IF(K13&gt;'Shifts &amp; Rules'!$C$18,"Over max hours",IF(AND(SUMPRODUCT((D13:I13='Shifts &amp; Rules'!$C$21)*(E13:J13='Shifts &amp; Rules'!$C$20))&gt;0,'Shifts &amp; Rules'!$C$23&lt;'Shifts &amp; Rules'!$C$19),"Short rest (Late then Early)",IF(AND(C13&gt;0,K13&lt;C13),"Under contract","OK"))))</f>
        <v>OK</v>
      </c>
    </row>
    <row r="14" customFormat="false" ht="19.5" hidden="false" customHeight="true" outlineLevel="0" collapsed="false">
      <c r="A14" s="16"/>
      <c r="B14" s="16"/>
      <c r="C14" s="17"/>
      <c r="D14" s="18"/>
      <c r="E14" s="18"/>
      <c r="F14" s="18"/>
      <c r="G14" s="18"/>
      <c r="H14" s="18"/>
      <c r="I14" s="18"/>
      <c r="J14" s="18"/>
      <c r="K14" s="19" t="str">
        <f aca="false">IF($A14="","",SUMPRODUCT(SUMIF('Shifts &amp; Rules'!$A$5:$A$14,D14:J14,'Shifts &amp; Rules'!$F$5:$F$14)))</f>
        <v/>
      </c>
      <c r="L14" s="20" t="str">
        <f aca="false">IF($A14="","",SUMPRODUCT(--(SUMIF('Shifts &amp; Rules'!$A$5:$A$14,D14:J14,'Shifts &amp; Rules'!$F$5:$F$14)&gt;0)))</f>
        <v/>
      </c>
      <c r="M14" s="21" t="str">
        <f aca="false">IF($A14="","",IF(K14&gt;'Shifts &amp; Rules'!$C$18,"Over max hours",IF(AND(SUMPRODUCT((D14:I14='Shifts &amp; Rules'!$C$21)*(E14:J14='Shifts &amp; Rules'!$C$20))&gt;0,'Shifts &amp; Rules'!$C$23&lt;'Shifts &amp; Rules'!$C$19),"Short rest (Late then Early)",IF(AND(C14&gt;0,K14&lt;C14),"Under contract","OK"))))</f>
        <v/>
      </c>
    </row>
    <row r="15" customFormat="false" ht="19.5" hidden="false" customHeight="true" outlineLevel="0" collapsed="false">
      <c r="A15" s="16"/>
      <c r="B15" s="16"/>
      <c r="C15" s="17"/>
      <c r="D15" s="18"/>
      <c r="E15" s="18"/>
      <c r="F15" s="18"/>
      <c r="G15" s="18"/>
      <c r="H15" s="18"/>
      <c r="I15" s="18"/>
      <c r="J15" s="18"/>
      <c r="K15" s="19" t="str">
        <f aca="false">IF($A15="","",SUMPRODUCT(SUMIF('Shifts &amp; Rules'!$A$5:$A$14,D15:J15,'Shifts &amp; Rules'!$F$5:$F$14)))</f>
        <v/>
      </c>
      <c r="L15" s="20" t="str">
        <f aca="false">IF($A15="","",SUMPRODUCT(--(SUMIF('Shifts &amp; Rules'!$A$5:$A$14,D15:J15,'Shifts &amp; Rules'!$F$5:$F$14)&gt;0)))</f>
        <v/>
      </c>
      <c r="M15" s="21" t="str">
        <f aca="false">IF($A15="","",IF(K15&gt;'Shifts &amp; Rules'!$C$18,"Over max hours",IF(AND(SUMPRODUCT((D15:I15='Shifts &amp; Rules'!$C$21)*(E15:J15='Shifts &amp; Rules'!$C$20))&gt;0,'Shifts &amp; Rules'!$C$23&lt;'Shifts &amp; Rules'!$C$19),"Short rest (Late then Early)",IF(AND(C15&gt;0,K15&lt;C15),"Under contract","OK"))))</f>
        <v/>
      </c>
    </row>
    <row r="16" customFormat="false" ht="19.5" hidden="false" customHeight="true" outlineLevel="0" collapsed="false">
      <c r="A16" s="16"/>
      <c r="B16" s="16"/>
      <c r="C16" s="17"/>
      <c r="D16" s="18"/>
      <c r="E16" s="18"/>
      <c r="F16" s="18"/>
      <c r="G16" s="18"/>
      <c r="H16" s="18"/>
      <c r="I16" s="18"/>
      <c r="J16" s="18"/>
      <c r="K16" s="19" t="str">
        <f aca="false">IF($A16="","",SUMPRODUCT(SUMIF('Shifts &amp; Rules'!$A$5:$A$14,D16:J16,'Shifts &amp; Rules'!$F$5:$F$14)))</f>
        <v/>
      </c>
      <c r="L16" s="20" t="str">
        <f aca="false">IF($A16="","",SUMPRODUCT(--(SUMIF('Shifts &amp; Rules'!$A$5:$A$14,D16:J16,'Shifts &amp; Rules'!$F$5:$F$14)&gt;0)))</f>
        <v/>
      </c>
      <c r="M16" s="21" t="str">
        <f aca="false">IF($A16="","",IF(K16&gt;'Shifts &amp; Rules'!$C$18,"Over max hours",IF(AND(SUMPRODUCT((D16:I16='Shifts &amp; Rules'!$C$21)*(E16:J16='Shifts &amp; Rules'!$C$20))&gt;0,'Shifts &amp; Rules'!$C$23&lt;'Shifts &amp; Rules'!$C$19),"Short rest (Late then Early)",IF(AND(C16&gt;0,K16&lt;C16),"Under contract","OK"))))</f>
        <v/>
      </c>
    </row>
    <row r="17" customFormat="false" ht="19.5" hidden="false" customHeight="true" outlineLevel="0" collapsed="false">
      <c r="A17" s="16"/>
      <c r="B17" s="16"/>
      <c r="C17" s="17"/>
      <c r="D17" s="18"/>
      <c r="E17" s="18"/>
      <c r="F17" s="18"/>
      <c r="G17" s="18"/>
      <c r="H17" s="18"/>
      <c r="I17" s="18"/>
      <c r="J17" s="18"/>
      <c r="K17" s="19" t="str">
        <f aca="false">IF($A17="","",SUMPRODUCT(SUMIF('Shifts &amp; Rules'!$A$5:$A$14,D17:J17,'Shifts &amp; Rules'!$F$5:$F$14)))</f>
        <v/>
      </c>
      <c r="L17" s="20" t="str">
        <f aca="false">IF($A17="","",SUMPRODUCT(--(SUMIF('Shifts &amp; Rules'!$A$5:$A$14,D17:J17,'Shifts &amp; Rules'!$F$5:$F$14)&gt;0)))</f>
        <v/>
      </c>
      <c r="M17" s="21" t="str">
        <f aca="false">IF($A17="","",IF(K17&gt;'Shifts &amp; Rules'!$C$18,"Over max hours",IF(AND(SUMPRODUCT((D17:I17='Shifts &amp; Rules'!$C$21)*(E17:J17='Shifts &amp; Rules'!$C$20))&gt;0,'Shifts &amp; Rules'!$C$23&lt;'Shifts &amp; Rules'!$C$19),"Short rest (Late then Early)",IF(AND(C17&gt;0,K17&lt;C17),"Under contract","OK"))))</f>
        <v/>
      </c>
    </row>
    <row r="18" customFormat="false" ht="19.5" hidden="false" customHeight="true" outlineLevel="0" collapsed="false">
      <c r="A18" s="16"/>
      <c r="B18" s="16"/>
      <c r="C18" s="17"/>
      <c r="D18" s="18"/>
      <c r="E18" s="18"/>
      <c r="F18" s="18"/>
      <c r="G18" s="18"/>
      <c r="H18" s="18"/>
      <c r="I18" s="18"/>
      <c r="J18" s="18"/>
      <c r="K18" s="19" t="str">
        <f aca="false">IF($A18="","",SUMPRODUCT(SUMIF('Shifts &amp; Rules'!$A$5:$A$14,D18:J18,'Shifts &amp; Rules'!$F$5:$F$14)))</f>
        <v/>
      </c>
      <c r="L18" s="20" t="str">
        <f aca="false">IF($A18="","",SUMPRODUCT(--(SUMIF('Shifts &amp; Rules'!$A$5:$A$14,D18:J18,'Shifts &amp; Rules'!$F$5:$F$14)&gt;0)))</f>
        <v/>
      </c>
      <c r="M18" s="21" t="str">
        <f aca="false">IF($A18="","",IF(K18&gt;'Shifts &amp; Rules'!$C$18,"Over max hours",IF(AND(SUMPRODUCT((D18:I18='Shifts &amp; Rules'!$C$21)*(E18:J18='Shifts &amp; Rules'!$C$20))&gt;0,'Shifts &amp; Rules'!$C$23&lt;'Shifts &amp; Rules'!$C$19),"Short rest (Late then Early)",IF(AND(C18&gt;0,K18&lt;C18),"Under contract","OK"))))</f>
        <v/>
      </c>
    </row>
    <row r="19" customFormat="false" ht="19.5" hidden="false" customHeight="true" outlineLevel="0" collapsed="false">
      <c r="A19" s="16"/>
      <c r="B19" s="16"/>
      <c r="C19" s="17"/>
      <c r="D19" s="18"/>
      <c r="E19" s="18"/>
      <c r="F19" s="18"/>
      <c r="G19" s="18"/>
      <c r="H19" s="18"/>
      <c r="I19" s="18"/>
      <c r="J19" s="18"/>
      <c r="K19" s="19" t="str">
        <f aca="false">IF($A19="","",SUMPRODUCT(SUMIF('Shifts &amp; Rules'!$A$5:$A$14,D19:J19,'Shifts &amp; Rules'!$F$5:$F$14)))</f>
        <v/>
      </c>
      <c r="L19" s="20" t="str">
        <f aca="false">IF($A19="","",SUMPRODUCT(--(SUMIF('Shifts &amp; Rules'!$A$5:$A$14,D19:J19,'Shifts &amp; Rules'!$F$5:$F$14)&gt;0)))</f>
        <v/>
      </c>
      <c r="M19" s="21" t="str">
        <f aca="false">IF($A19="","",IF(K19&gt;'Shifts &amp; Rules'!$C$18,"Over max hours",IF(AND(SUMPRODUCT((D19:I19='Shifts &amp; Rules'!$C$21)*(E19:J19='Shifts &amp; Rules'!$C$20))&gt;0,'Shifts &amp; Rules'!$C$23&lt;'Shifts &amp; Rules'!$C$19),"Short rest (Late then Early)",IF(AND(C19&gt;0,K19&lt;C19),"Under contract","OK"))))</f>
        <v/>
      </c>
    </row>
    <row r="20" customFormat="false" ht="19.5" hidden="false" customHeight="true" outlineLevel="0" collapsed="false">
      <c r="A20" s="16"/>
      <c r="B20" s="16"/>
      <c r="C20" s="17"/>
      <c r="D20" s="18"/>
      <c r="E20" s="18"/>
      <c r="F20" s="18"/>
      <c r="G20" s="18"/>
      <c r="H20" s="18"/>
      <c r="I20" s="18"/>
      <c r="J20" s="18"/>
      <c r="K20" s="19" t="str">
        <f aca="false">IF($A20="","",SUMPRODUCT(SUMIF('Shifts &amp; Rules'!$A$5:$A$14,D20:J20,'Shifts &amp; Rules'!$F$5:$F$14)))</f>
        <v/>
      </c>
      <c r="L20" s="20" t="str">
        <f aca="false">IF($A20="","",SUMPRODUCT(--(SUMIF('Shifts &amp; Rules'!$A$5:$A$14,D20:J20,'Shifts &amp; Rules'!$F$5:$F$14)&gt;0)))</f>
        <v/>
      </c>
      <c r="M20" s="21" t="str">
        <f aca="false">IF($A20="","",IF(K20&gt;'Shifts &amp; Rules'!$C$18,"Over max hours",IF(AND(SUMPRODUCT((D20:I20='Shifts &amp; Rules'!$C$21)*(E20:J20='Shifts &amp; Rules'!$C$20))&gt;0,'Shifts &amp; Rules'!$C$23&lt;'Shifts &amp; Rules'!$C$19),"Short rest (Late then Early)",IF(AND(C20&gt;0,K20&lt;C20),"Under contract","OK"))))</f>
        <v/>
      </c>
    </row>
    <row r="21" customFormat="false" ht="15" hidden="false" customHeight="false" outlineLevel="0" collapsed="false">
      <c r="A21" s="9" t="s">
        <v>56</v>
      </c>
      <c r="K21" s="22" t="n">
        <f aca="false">SUM(K6:K20)</f>
        <v>320</v>
      </c>
      <c r="L21" s="23" t="n">
        <f aca="false">SUM(L6:L20)</f>
        <v>40</v>
      </c>
    </row>
    <row r="23" customFormat="false" ht="15" hidden="false" customHeight="false" outlineLevel="0" collapsed="false">
      <c r="A23" s="3" t="s">
        <v>57</v>
      </c>
      <c r="B23" s="4"/>
      <c r="C23" s="4"/>
      <c r="D23" s="24" t="n">
        <f aca="false">D$5</f>
        <v>46314</v>
      </c>
      <c r="E23" s="24" t="n">
        <f aca="false">E$5</f>
        <v>46315</v>
      </c>
      <c r="F23" s="24" t="n">
        <f aca="false">F$5</f>
        <v>46316</v>
      </c>
      <c r="G23" s="24" t="n">
        <f aca="false">G$5</f>
        <v>46317</v>
      </c>
      <c r="H23" s="24" t="n">
        <f aca="false">H$5</f>
        <v>46318</v>
      </c>
      <c r="I23" s="24" t="n">
        <f aca="false">I$5</f>
        <v>46319</v>
      </c>
      <c r="J23" s="24" t="n">
        <f aca="false">J$5</f>
        <v>46320</v>
      </c>
    </row>
    <row r="24" customFormat="false" ht="15" hidden="false" customHeight="false" outlineLevel="0" collapsed="false">
      <c r="A24" s="25" t="s">
        <v>58</v>
      </c>
      <c r="B24" s="25"/>
      <c r="C24" s="25"/>
      <c r="D24" s="26" t="n">
        <v>2</v>
      </c>
      <c r="E24" s="26" t="n">
        <v>2</v>
      </c>
      <c r="F24" s="26" t="n">
        <v>2</v>
      </c>
      <c r="G24" s="26" t="n">
        <v>2</v>
      </c>
      <c r="H24" s="26" t="n">
        <v>2</v>
      </c>
      <c r="I24" s="26" t="n">
        <v>1</v>
      </c>
      <c r="J24" s="26" t="n">
        <v>1</v>
      </c>
    </row>
    <row r="25" customFormat="false" ht="15" hidden="false" customHeight="false" outlineLevel="0" collapsed="false">
      <c r="A25" s="25" t="s">
        <v>59</v>
      </c>
      <c r="B25" s="25"/>
      <c r="C25" s="25"/>
      <c r="D25" s="20" t="n">
        <f aca="false">COUNTIFS($B$6:$B$20,"Pharmacist",D$6:D$20,"E")+COUNTIFS($B$6:$B$20,"Pharmacist",D$6:D$20,"M")+COUNTIFS($B$6:$B$20,"Pharmacist",D$6:D$20,"L")</f>
        <v>2</v>
      </c>
      <c r="E25" s="20" t="n">
        <f aca="false">COUNTIFS($B$6:$B$20,"Pharmacist",E$6:E$20,"E")+COUNTIFS($B$6:$B$20,"Pharmacist",E$6:E$20,"M")+COUNTIFS($B$6:$B$20,"Pharmacist",E$6:E$20,"L")</f>
        <v>2</v>
      </c>
      <c r="F25" s="20" t="n">
        <f aca="false">COUNTIFS($B$6:$B$20,"Pharmacist",F$6:F$20,"E")+COUNTIFS($B$6:$B$20,"Pharmacist",F$6:F$20,"M")+COUNTIFS($B$6:$B$20,"Pharmacist",F$6:F$20,"L")</f>
        <v>3</v>
      </c>
      <c r="G25" s="20" t="n">
        <f aca="false">COUNTIFS($B$6:$B$20,"Pharmacist",G$6:G$20,"E")+COUNTIFS($B$6:$B$20,"Pharmacist",G$6:G$20,"M")+COUNTIFS($B$6:$B$20,"Pharmacist",G$6:G$20,"L")</f>
        <v>3</v>
      </c>
      <c r="H25" s="20" t="n">
        <f aca="false">COUNTIFS($B$6:$B$20,"Pharmacist",H$6:H$20,"E")+COUNTIFS($B$6:$B$20,"Pharmacist",H$6:H$20,"M")+COUNTIFS($B$6:$B$20,"Pharmacist",H$6:H$20,"L")</f>
        <v>2</v>
      </c>
      <c r="I25" s="20" t="n">
        <f aca="false">COUNTIFS($B$6:$B$20,"Pharmacist",I$6:I$20,"E")+COUNTIFS($B$6:$B$20,"Pharmacist",I$6:I$20,"M")+COUNTIFS($B$6:$B$20,"Pharmacist",I$6:I$20,"L")</f>
        <v>2</v>
      </c>
      <c r="J25" s="20" t="n">
        <f aca="false">COUNTIFS($B$6:$B$20,"Pharmacist",J$6:J$20,"E")+COUNTIFS($B$6:$B$20,"Pharmacist",J$6:J$20,"M")+COUNTIFS($B$6:$B$20,"Pharmacist",J$6:J$20,"L")</f>
        <v>1</v>
      </c>
    </row>
    <row r="26" customFormat="false" ht="15" hidden="false" customHeight="false" outlineLevel="0" collapsed="false">
      <c r="A26" s="27" t="s">
        <v>60</v>
      </c>
      <c r="B26" s="27"/>
      <c r="C26" s="27"/>
      <c r="D26" s="28" t="str">
        <f aca="false">IF(D25&gt;=D24,"OK","GAP")</f>
        <v>OK</v>
      </c>
      <c r="E26" s="28" t="str">
        <f aca="false">IF(E25&gt;=E24,"OK","GAP")</f>
        <v>OK</v>
      </c>
      <c r="F26" s="28" t="str">
        <f aca="false">IF(F25&gt;=F24,"OK","GAP")</f>
        <v>OK</v>
      </c>
      <c r="G26" s="28" t="str">
        <f aca="false">IF(G25&gt;=G24,"OK","GAP")</f>
        <v>OK</v>
      </c>
      <c r="H26" s="28" t="str">
        <f aca="false">IF(H25&gt;=H24,"OK","GAP")</f>
        <v>OK</v>
      </c>
      <c r="I26" s="28" t="str">
        <f aca="false">IF(I25&gt;=I24,"OK","GAP")</f>
        <v>OK</v>
      </c>
      <c r="J26" s="28" t="str">
        <f aca="false">IF(J25&gt;=J24,"OK","GAP")</f>
        <v>OK</v>
      </c>
    </row>
    <row r="27" customFormat="false" ht="15" hidden="false" customHeight="false" outlineLevel="0" collapsed="false">
      <c r="A27" s="25" t="s">
        <v>61</v>
      </c>
      <c r="B27" s="25"/>
      <c r="C27" s="25"/>
      <c r="D27" s="26" t="n">
        <v>1</v>
      </c>
      <c r="E27" s="26" t="n">
        <v>1</v>
      </c>
      <c r="F27" s="26" t="n">
        <v>1</v>
      </c>
      <c r="G27" s="26" t="n">
        <v>1</v>
      </c>
      <c r="H27" s="26" t="n">
        <v>1</v>
      </c>
      <c r="I27" s="26" t="n">
        <v>0</v>
      </c>
      <c r="J27" s="26" t="n">
        <v>0</v>
      </c>
    </row>
    <row r="28" customFormat="false" ht="15" hidden="false" customHeight="false" outlineLevel="0" collapsed="false">
      <c r="A28" s="25" t="s">
        <v>62</v>
      </c>
      <c r="B28" s="25"/>
      <c r="C28" s="25"/>
      <c r="D28" s="20" t="n">
        <f aca="false">COUNTIFS($B$6:$B$20,"Pharmacist",D$6:D$20,"E")</f>
        <v>1</v>
      </c>
      <c r="E28" s="20" t="n">
        <f aca="false">COUNTIFS($B$6:$B$20,"Pharmacist",E$6:E$20,"E")</f>
        <v>1</v>
      </c>
      <c r="F28" s="20" t="n">
        <f aca="false">COUNTIFS($B$6:$B$20,"Pharmacist",F$6:F$20,"E")</f>
        <v>1</v>
      </c>
      <c r="G28" s="20" t="n">
        <f aca="false">COUNTIFS($B$6:$B$20,"Pharmacist",G$6:G$20,"E")</f>
        <v>1</v>
      </c>
      <c r="H28" s="20" t="n">
        <f aca="false">COUNTIFS($B$6:$B$20,"Pharmacist",H$6:H$20,"E")</f>
        <v>1</v>
      </c>
      <c r="I28" s="20" t="n">
        <f aca="false">COUNTIFS($B$6:$B$20,"Pharmacist",I$6:I$20,"E")</f>
        <v>0</v>
      </c>
      <c r="J28" s="20" t="n">
        <f aca="false">COUNTIFS($B$6:$B$20,"Pharmacist",J$6:J$20,"E")</f>
        <v>0</v>
      </c>
    </row>
    <row r="29" customFormat="false" ht="15" hidden="false" customHeight="false" outlineLevel="0" collapsed="false">
      <c r="A29" s="27" t="s">
        <v>60</v>
      </c>
      <c r="B29" s="27"/>
      <c r="C29" s="27"/>
      <c r="D29" s="28" t="str">
        <f aca="false">IF(D28&gt;=D27,"OK","GAP")</f>
        <v>OK</v>
      </c>
      <c r="E29" s="28" t="str">
        <f aca="false">IF(E28&gt;=E27,"OK","GAP")</f>
        <v>OK</v>
      </c>
      <c r="F29" s="28" t="str">
        <f aca="false">IF(F28&gt;=F27,"OK","GAP")</f>
        <v>OK</v>
      </c>
      <c r="G29" s="28" t="str">
        <f aca="false">IF(G28&gt;=G27,"OK","GAP")</f>
        <v>OK</v>
      </c>
      <c r="H29" s="28" t="str">
        <f aca="false">IF(H28&gt;=H27,"OK","GAP")</f>
        <v>OK</v>
      </c>
      <c r="I29" s="28" t="str">
        <f aca="false">IF(I28&gt;=I27,"OK","GAP")</f>
        <v>OK</v>
      </c>
      <c r="J29" s="28" t="str">
        <f aca="false">IF(J28&gt;=J27,"OK","GAP")</f>
        <v>OK</v>
      </c>
    </row>
    <row r="30" customFormat="false" ht="15" hidden="false" customHeight="false" outlineLevel="0" collapsed="false">
      <c r="A30" s="25" t="s">
        <v>63</v>
      </c>
      <c r="B30" s="25"/>
      <c r="C30" s="25"/>
      <c r="D30" s="26" t="n">
        <v>1</v>
      </c>
      <c r="E30" s="26" t="n">
        <v>1</v>
      </c>
      <c r="F30" s="26" t="n">
        <v>1</v>
      </c>
      <c r="G30" s="26" t="n">
        <v>1</v>
      </c>
      <c r="H30" s="26" t="n">
        <v>1</v>
      </c>
      <c r="I30" s="26" t="n">
        <v>0</v>
      </c>
      <c r="J30" s="26" t="n">
        <v>0</v>
      </c>
    </row>
    <row r="31" customFormat="false" ht="15" hidden="false" customHeight="false" outlineLevel="0" collapsed="false">
      <c r="A31" s="25" t="s">
        <v>64</v>
      </c>
      <c r="B31" s="25"/>
      <c r="C31" s="25"/>
      <c r="D31" s="20" t="n">
        <f aca="false">COUNTIFS($B$6:$B$20,"Pharmacist",D$6:D$20,"L")</f>
        <v>1</v>
      </c>
      <c r="E31" s="20" t="n">
        <f aca="false">COUNTIFS($B$6:$B$20,"Pharmacist",E$6:E$20,"L")</f>
        <v>1</v>
      </c>
      <c r="F31" s="20" t="n">
        <f aca="false">COUNTIFS($B$6:$B$20,"Pharmacist",F$6:F$20,"L")</f>
        <v>1</v>
      </c>
      <c r="G31" s="20" t="n">
        <f aca="false">COUNTIFS($B$6:$B$20,"Pharmacist",G$6:G$20,"L")</f>
        <v>1</v>
      </c>
      <c r="H31" s="20" t="n">
        <f aca="false">COUNTIFS($B$6:$B$20,"Pharmacist",H$6:H$20,"L")</f>
        <v>1</v>
      </c>
      <c r="I31" s="20" t="n">
        <f aca="false">COUNTIFS($B$6:$B$20,"Pharmacist",I$6:I$20,"L")</f>
        <v>0</v>
      </c>
      <c r="J31" s="20" t="n">
        <f aca="false">COUNTIFS($B$6:$B$20,"Pharmacist",J$6:J$20,"L")</f>
        <v>0</v>
      </c>
    </row>
    <row r="32" customFormat="false" ht="15" hidden="false" customHeight="false" outlineLevel="0" collapsed="false">
      <c r="A32" s="27" t="s">
        <v>60</v>
      </c>
      <c r="B32" s="27"/>
      <c r="C32" s="27"/>
      <c r="D32" s="28" t="str">
        <f aca="false">IF(D31&gt;=D30,"OK","GAP")</f>
        <v>OK</v>
      </c>
      <c r="E32" s="28" t="str">
        <f aca="false">IF(E31&gt;=E30,"OK","GAP")</f>
        <v>OK</v>
      </c>
      <c r="F32" s="28" t="str">
        <f aca="false">IF(F31&gt;=F30,"OK","GAP")</f>
        <v>OK</v>
      </c>
      <c r="G32" s="28" t="str">
        <f aca="false">IF(G31&gt;=G30,"OK","GAP")</f>
        <v>OK</v>
      </c>
      <c r="H32" s="28" t="str">
        <f aca="false">IF(H31&gt;=H30,"OK","GAP")</f>
        <v>OK</v>
      </c>
      <c r="I32" s="28" t="str">
        <f aca="false">IF(I31&gt;=I30,"OK","GAP")</f>
        <v>OK</v>
      </c>
      <c r="J32" s="28" t="str">
        <f aca="false">IF(J31&gt;=J30,"OK","GAP")</f>
        <v>OK</v>
      </c>
    </row>
    <row r="33" customFormat="false" ht="15" hidden="false" customHeight="false" outlineLevel="0" collapsed="false">
      <c r="A33" s="25" t="s">
        <v>65</v>
      </c>
      <c r="B33" s="25"/>
      <c r="C33" s="25"/>
      <c r="D33" s="20" t="n">
        <f aca="false">COUNTIF(D$6:D$20,"E")+COUNTIF(D$6:D$20,"M")+COUNTIF(D$6:D$20,"L")</f>
        <v>6</v>
      </c>
      <c r="E33" s="20" t="n">
        <f aca="false">COUNTIF(E$6:E$20,"E")+COUNTIF(E$6:E$20,"M")+COUNTIF(E$6:E$20,"L")</f>
        <v>6</v>
      </c>
      <c r="F33" s="20" t="n">
        <f aca="false">COUNTIF(F$6:F$20,"E")+COUNTIF(F$6:F$20,"M")+COUNTIF(F$6:F$20,"L")</f>
        <v>6</v>
      </c>
      <c r="G33" s="20" t="n">
        <f aca="false">COUNTIF(G$6:G$20,"E")+COUNTIF(G$6:G$20,"M")+COUNTIF(G$6:G$20,"L")</f>
        <v>6</v>
      </c>
      <c r="H33" s="20" t="n">
        <f aca="false">COUNTIF(H$6:H$20,"E")+COUNTIF(H$6:H$20,"M")+COUNTIF(H$6:H$20,"L")</f>
        <v>6</v>
      </c>
      <c r="I33" s="20" t="n">
        <f aca="false">COUNTIF(I$6:I$20,"E")+COUNTIF(I$6:I$20,"M")+COUNTIF(I$6:I$20,"L")</f>
        <v>6</v>
      </c>
      <c r="J33" s="20" t="n">
        <f aca="false">COUNTIF(J$6:J$20,"E")+COUNTIF(J$6:J$20,"M")+COUNTIF(J$6:J$20,"L")</f>
        <v>4</v>
      </c>
    </row>
    <row r="35" customFormat="false" ht="15" hidden="false" customHeight="false" outlineLevel="0" collapsed="false">
      <c r="A35" s="11" t="s">
        <v>66</v>
      </c>
    </row>
  </sheetData>
  <mergeCells count="12">
    <mergeCell ref="B2:F2"/>
    <mergeCell ref="A3:B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</mergeCells>
  <conditionalFormatting sqref="M6:M20">
    <cfRule type="expression" priority="2" aboveAverage="0" equalAverage="0" bottom="0" percent="0" rank="0" text="" dxfId="0">
      <formula>AND(M6&lt;&gt;"",M6&lt;&gt;"OK")</formula>
    </cfRule>
  </conditionalFormatting>
  <conditionalFormatting sqref="D26:J26">
    <cfRule type="cellIs" priority="3" operator="equal" aboveAverage="0" equalAverage="0" bottom="0" percent="0" rank="0" text="" dxfId="0">
      <formula>"GAP"</formula>
    </cfRule>
    <cfRule type="cellIs" priority="4" operator="equal" aboveAverage="0" equalAverage="0" bottom="0" percent="0" rank="0" text="" dxfId="1">
      <formula>"OK"</formula>
    </cfRule>
  </conditionalFormatting>
  <conditionalFormatting sqref="D29:J29">
    <cfRule type="cellIs" priority="5" operator="equal" aboveAverage="0" equalAverage="0" bottom="0" percent="0" rank="0" text="" dxfId="0">
      <formula>"GAP"</formula>
    </cfRule>
    <cfRule type="cellIs" priority="6" operator="equal" aboveAverage="0" equalAverage="0" bottom="0" percent="0" rank="0" text="" dxfId="1">
      <formula>"OK"</formula>
    </cfRule>
  </conditionalFormatting>
  <conditionalFormatting sqref="D32:J32">
    <cfRule type="cellIs" priority="7" operator="equal" aboveAverage="0" equalAverage="0" bottom="0" percent="0" rank="0" text="" dxfId="0">
      <formula>"GAP"</formula>
    </cfRule>
    <cfRule type="cellIs" priority="8" operator="equal" aboveAverage="0" equalAverage="0" bottom="0" percent="0" rank="0" text="" dxfId="1">
      <formula>"OK"</formula>
    </cfRule>
  </conditionalFormatting>
  <conditionalFormatting sqref="D6:J20">
    <cfRule type="cellIs" priority="9" operator="equal" aboveAverage="0" equalAverage="0" bottom="0" percent="0" rank="0" text="" dxfId="2">
      <formula>"E"</formula>
    </cfRule>
    <cfRule type="cellIs" priority="10" operator="equal" aboveAverage="0" equalAverage="0" bottom="0" percent="0" rank="0" text="" dxfId="3">
      <formula>"M"</formula>
    </cfRule>
    <cfRule type="cellIs" priority="11" operator="equal" aboveAverage="0" equalAverage="0" bottom="0" percent="0" rank="0" text="" dxfId="4">
      <formula>"L"</formula>
    </cfRule>
    <cfRule type="cellIs" priority="12" operator="equal" aboveAverage="0" equalAverage="0" bottom="0" percent="0" rank="0" text="" dxfId="5">
      <formula>"OFF"</formula>
    </cfRule>
    <cfRule type="cellIs" priority="13" operator="equal" aboveAverage="0" equalAverage="0" bottom="0" percent="0" rank="0" text="" dxfId="6">
      <formula>"LV"</formula>
    </cfRule>
    <cfRule type="cellIs" priority="14" operator="equal" aboveAverage="0" equalAverage="0" bottom="0" percent="0" rank="0" text="" dxfId="7">
      <formula>"SK"</formula>
    </cfRule>
    <cfRule type="cellIs" priority="15" operator="equal" aboveAverage="0" equalAverage="0" bottom="0" percent="0" rank="0" text="" dxfId="8">
      <formula>"PH"</formula>
    </cfRule>
  </conditionalFormatting>
  <dataValidations count="2">
    <dataValidation allowBlank="true" error="Pick a code from the list (add new codes on the Shifts &amp; Rules sheet)." errorStyle="stop" errorTitle="Shift code" operator="between" showDropDown="false" showErrorMessage="true" showInputMessage="false" sqref="D6:J20" type="list">
      <formula1>'Shifts &amp; Rules'!$A$5:$A$14</formula1>
      <formula2>0</formula2>
    </dataValidation>
    <dataValidation allowBlank="true" errorStyle="stop" operator="between" showDropDown="false" showErrorMessage="false" showInputMessage="false" sqref="B6:B20" type="list">
      <formula1>"Pharmacist,Pharmacist Assistant,Dispensary Assistant,Front Shop,Cashier"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1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19.7" hidden="false" customHeight="false" outlineLevel="0" collapsed="false">
      <c r="A1" s="29" t="s">
        <v>67</v>
      </c>
    </row>
    <row r="2" customFormat="false" ht="15" hidden="false" customHeight="false" outlineLevel="0" collapsed="false">
      <c r="A2" s="2" t="s">
        <v>68</v>
      </c>
    </row>
    <row r="4" customFormat="false" ht="30" hidden="false" customHeight="true" outlineLevel="0" collapsed="false">
      <c r="A4" s="14" t="s">
        <v>69</v>
      </c>
      <c r="B4" s="14" t="s">
        <v>70</v>
      </c>
      <c r="C4" s="14" t="s">
        <v>71</v>
      </c>
      <c r="D4" s="14" t="s">
        <v>72</v>
      </c>
      <c r="E4" s="14" t="s">
        <v>73</v>
      </c>
      <c r="F4" s="14" t="s">
        <v>74</v>
      </c>
      <c r="G4" s="14" t="s">
        <v>75</v>
      </c>
    </row>
    <row r="5" customFormat="false" ht="15" hidden="false" customHeight="false" outlineLevel="0" collapsed="false">
      <c r="A5" s="30" t="s">
        <v>42</v>
      </c>
      <c r="B5" s="31" t="s">
        <v>76</v>
      </c>
      <c r="C5" s="32" t="n">
        <v>0.333333333333333</v>
      </c>
      <c r="D5" s="32" t="n">
        <v>0.6875</v>
      </c>
      <c r="E5" s="33" t="n">
        <v>0.5</v>
      </c>
      <c r="F5" s="34" t="n">
        <f aca="false">IF(OR(C5="",D5=""),0,(D5-C5)*24-E5)</f>
        <v>8</v>
      </c>
      <c r="G5" s="20" t="str">
        <f aca="false">IF(F5&gt;0,"Yes","No")</f>
        <v>Yes</v>
      </c>
    </row>
    <row r="6" customFormat="false" ht="15" hidden="false" customHeight="false" outlineLevel="0" collapsed="false">
      <c r="A6" s="30" t="s">
        <v>44</v>
      </c>
      <c r="B6" s="31" t="s">
        <v>77</v>
      </c>
      <c r="C6" s="32" t="n">
        <v>0.395833333333333</v>
      </c>
      <c r="D6" s="32" t="n">
        <v>0.75</v>
      </c>
      <c r="E6" s="33" t="n">
        <v>0.5</v>
      </c>
      <c r="F6" s="34" t="n">
        <f aca="false">IF(OR(C6="",D6=""),0,(D6-C6)*24-E6)</f>
        <v>8</v>
      </c>
      <c r="G6" s="20" t="str">
        <f aca="false">IF(F6&gt;0,"Yes","No")</f>
        <v>Yes</v>
      </c>
    </row>
    <row r="7" customFormat="false" ht="15" hidden="false" customHeight="false" outlineLevel="0" collapsed="false">
      <c r="A7" s="30" t="s">
        <v>46</v>
      </c>
      <c r="B7" s="31" t="s">
        <v>78</v>
      </c>
      <c r="C7" s="32" t="n">
        <v>0.5</v>
      </c>
      <c r="D7" s="32" t="n">
        <v>0.854166666666667</v>
      </c>
      <c r="E7" s="33" t="n">
        <v>0.5</v>
      </c>
      <c r="F7" s="34" t="n">
        <f aca="false">IF(OR(C7="",D7=""),0,(D7-C7)*24-E7)</f>
        <v>8</v>
      </c>
      <c r="G7" s="20" t="str">
        <f aca="false">IF(F7&gt;0,"Yes","No")</f>
        <v>Yes</v>
      </c>
    </row>
    <row r="8" customFormat="false" ht="15" hidden="false" customHeight="false" outlineLevel="0" collapsed="false">
      <c r="A8" s="30" t="s">
        <v>43</v>
      </c>
      <c r="B8" s="31" t="s">
        <v>79</v>
      </c>
      <c r="C8" s="32"/>
      <c r="D8" s="32"/>
      <c r="E8" s="33"/>
      <c r="F8" s="34" t="n">
        <f aca="false">IF(OR(C8="",D8=""),0,(D8-C8)*24-E8)</f>
        <v>0</v>
      </c>
      <c r="G8" s="20" t="str">
        <f aca="false">IF(F8&gt;0,"Yes","No")</f>
        <v>No</v>
      </c>
    </row>
    <row r="9" customFormat="false" ht="15" hidden="false" customHeight="false" outlineLevel="0" collapsed="false">
      <c r="A9" s="30" t="s">
        <v>80</v>
      </c>
      <c r="B9" s="31" t="s">
        <v>81</v>
      </c>
      <c r="C9" s="32"/>
      <c r="D9" s="32"/>
      <c r="E9" s="33"/>
      <c r="F9" s="34" t="n">
        <f aca="false">IF(OR(C9="",D9=""),0,(D9-C9)*24-E9)</f>
        <v>0</v>
      </c>
      <c r="G9" s="20" t="str">
        <f aca="false">IF(F9&gt;0,"Yes","No")</f>
        <v>No</v>
      </c>
    </row>
    <row r="10" customFormat="false" ht="15" hidden="false" customHeight="false" outlineLevel="0" collapsed="false">
      <c r="A10" s="30" t="s">
        <v>82</v>
      </c>
      <c r="B10" s="31" t="s">
        <v>83</v>
      </c>
      <c r="C10" s="32"/>
      <c r="D10" s="32"/>
      <c r="E10" s="33"/>
      <c r="F10" s="34" t="n">
        <f aca="false">IF(OR(C10="",D10=""),0,(D10-C10)*24-E10)</f>
        <v>0</v>
      </c>
      <c r="G10" s="20" t="str">
        <f aca="false">IF(F10&gt;0,"Yes","No")</f>
        <v>No</v>
      </c>
    </row>
    <row r="11" customFormat="false" ht="15" hidden="false" customHeight="false" outlineLevel="0" collapsed="false">
      <c r="A11" s="30" t="s">
        <v>84</v>
      </c>
      <c r="B11" s="31" t="s">
        <v>85</v>
      </c>
      <c r="C11" s="32"/>
      <c r="D11" s="32"/>
      <c r="E11" s="33"/>
      <c r="F11" s="34" t="n">
        <f aca="false">IF(OR(C11="",D11=""),0,(D11-C11)*24-E11)</f>
        <v>0</v>
      </c>
      <c r="G11" s="20" t="str">
        <f aca="false">IF(F11&gt;0,"Yes","No")</f>
        <v>No</v>
      </c>
    </row>
    <row r="12" customFormat="false" ht="15" hidden="false" customHeight="false" outlineLevel="0" collapsed="false">
      <c r="A12" s="30"/>
      <c r="B12" s="31"/>
      <c r="C12" s="32"/>
      <c r="D12" s="32"/>
      <c r="E12" s="33"/>
      <c r="F12" s="34" t="n">
        <f aca="false">IF(OR(C12="",D12=""),0,(D12-C12)*24-E12)</f>
        <v>0</v>
      </c>
      <c r="G12" s="20" t="str">
        <f aca="false">IF(F12&gt;0,"Yes","No")</f>
        <v>No</v>
      </c>
    </row>
    <row r="13" customFormat="false" ht="15" hidden="false" customHeight="false" outlineLevel="0" collapsed="false">
      <c r="A13" s="30"/>
      <c r="B13" s="31"/>
      <c r="C13" s="32"/>
      <c r="D13" s="32"/>
      <c r="E13" s="33"/>
      <c r="F13" s="34" t="n">
        <f aca="false">IF(OR(C13="",D13=""),0,(D13-C13)*24-E13)</f>
        <v>0</v>
      </c>
      <c r="G13" s="20" t="str">
        <f aca="false">IF(F13&gt;0,"Yes","No")</f>
        <v>No</v>
      </c>
    </row>
    <row r="14" customFormat="false" ht="15" hidden="false" customHeight="false" outlineLevel="0" collapsed="false">
      <c r="A14" s="30"/>
      <c r="B14" s="31"/>
      <c r="C14" s="32"/>
      <c r="D14" s="32"/>
      <c r="E14" s="33"/>
      <c r="F14" s="34" t="n">
        <f aca="false">IF(OR(C14="",D14=""),0,(D14-C14)*24-E14)</f>
        <v>0</v>
      </c>
      <c r="G14" s="20" t="str">
        <f aca="false">IF(F14&gt;0,"Yes","No")</f>
        <v>No</v>
      </c>
    </row>
    <row r="17" customFormat="false" ht="15" hidden="false" customHeight="false" outlineLevel="0" collapsed="false">
      <c r="A17" s="35" t="s">
        <v>86</v>
      </c>
    </row>
    <row r="18" customFormat="false" ht="15" hidden="false" customHeight="false" outlineLevel="0" collapsed="false">
      <c r="A18" s="36" t="s">
        <v>87</v>
      </c>
      <c r="B18" s="36"/>
      <c r="C18" s="37" t="n">
        <v>45</v>
      </c>
      <c r="D18" s="11" t="s">
        <v>88</v>
      </c>
    </row>
    <row r="19" customFormat="false" ht="15" hidden="false" customHeight="false" outlineLevel="0" collapsed="false">
      <c r="A19" s="36" t="s">
        <v>89</v>
      </c>
      <c r="B19" s="36"/>
      <c r="C19" s="37" t="n">
        <v>12</v>
      </c>
      <c r="D19" s="11" t="s">
        <v>90</v>
      </c>
    </row>
    <row r="20" customFormat="false" ht="15" hidden="false" customHeight="false" outlineLevel="0" collapsed="false">
      <c r="A20" s="36" t="s">
        <v>91</v>
      </c>
      <c r="B20" s="36"/>
      <c r="C20" s="38" t="s">
        <v>42</v>
      </c>
      <c r="D20" s="11" t="s">
        <v>92</v>
      </c>
    </row>
    <row r="21" customFormat="false" ht="15" hidden="false" customHeight="false" outlineLevel="0" collapsed="false">
      <c r="A21" s="36" t="s">
        <v>93</v>
      </c>
      <c r="B21" s="36"/>
      <c r="C21" s="38" t="s">
        <v>46</v>
      </c>
      <c r="D21" s="11" t="s">
        <v>94</v>
      </c>
    </row>
    <row r="23" customFormat="false" ht="15" hidden="false" customHeight="false" outlineLevel="0" collapsed="false">
      <c r="A23" s="36" t="s">
        <v>95</v>
      </c>
      <c r="B23" s="36"/>
      <c r="C23" s="19" t="n">
        <f aca="false">IFERROR(24+(INDEX($C$5:$C$14,MATCH($C$20,$A$5:$A$14,0))-INDEX($D$5:$D$14,MATCH($C$21,$A$5:$A$14,0)))*24,0)</f>
        <v>11.5</v>
      </c>
      <c r="D23" s="11" t="s">
        <v>96</v>
      </c>
    </row>
  </sheetData>
  <mergeCells count="5">
    <mergeCell ref="A18:B18"/>
    <mergeCell ref="A19:B19"/>
    <mergeCell ref="A20:B20"/>
    <mergeCell ref="A21:B21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2026-10-13T00:14:07Z</dcterms:created>
  <dc:creator>openpyxl</dc:creator>
  <dc:description/>
  <dc:language>en-US</dc:language>
  <cp:lastModifiedBy/>
  <dcterms:modified xsi:type="dcterms:W3CDTF">2026-10-13T00:14:07Z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